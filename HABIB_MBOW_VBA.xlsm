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bowe\Desktop\M2_MIASHS\"/>
    </mc:Choice>
  </mc:AlternateContent>
  <xr:revisionPtr revIDLastSave="0" documentId="13_ncr:1_{20F21A91-7FCF-4385-A2B6-6F151C7A9B24}" xr6:coauthVersionLast="45" xr6:coauthVersionMax="45" xr10:uidLastSave="{00000000-0000-0000-0000-000000000000}"/>
  <bookViews>
    <workbookView xWindow="-110" yWindow="550" windowWidth="19420" windowHeight="9760" xr2:uid="{A9E7CFA6-8AC0-4429-BD80-7AA30F7A4A52}"/>
  </bookViews>
  <sheets>
    <sheet name="Source" sheetId="1" r:id="rId1"/>
    <sheet name="Liste" sheetId="3" r:id="rId2"/>
    <sheet name="Tableau de Bord" sheetId="5" r:id="rId3"/>
  </sheets>
  <definedNames>
    <definedName name="ListeService">TService[[#All],[Service]]</definedName>
    <definedName name="ListeStatut">TStatut[[#All],[Statut]]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" l="1"/>
</calcChain>
</file>

<file path=xl/sharedStrings.xml><?xml version="1.0" encoding="utf-8"?>
<sst xmlns="http://schemas.openxmlformats.org/spreadsheetml/2006/main" count="178" uniqueCount="131">
  <si>
    <t>Prénom</t>
  </si>
  <si>
    <t>Nom</t>
  </si>
  <si>
    <t>Adresse</t>
  </si>
  <si>
    <t>Ville</t>
  </si>
  <si>
    <t>Habib</t>
  </si>
  <si>
    <t>Mbow</t>
  </si>
  <si>
    <t>Fall</t>
  </si>
  <si>
    <t>Modou</t>
  </si>
  <si>
    <t>Abdou</t>
  </si>
  <si>
    <t>Camara</t>
  </si>
  <si>
    <t>Ismaila</t>
  </si>
  <si>
    <t>Ba</t>
  </si>
  <si>
    <t>Awa</t>
  </si>
  <si>
    <t>Thiam</t>
  </si>
  <si>
    <t>Khoury</t>
  </si>
  <si>
    <t>Sène</t>
  </si>
  <si>
    <t>Rama</t>
  </si>
  <si>
    <t>Khady</t>
  </si>
  <si>
    <t>Ndiaye</t>
  </si>
  <si>
    <t>Fatou</t>
  </si>
  <si>
    <t>Lo</t>
  </si>
  <si>
    <t>2,rue de l'Eglise</t>
  </si>
  <si>
    <t>12, rue de moulin</t>
  </si>
  <si>
    <t>5, grande Rue</t>
  </si>
  <si>
    <t>5, rue de l'Eglisse</t>
  </si>
  <si>
    <t>15, rue Principale</t>
  </si>
  <si>
    <t>32, rue Pasteur</t>
  </si>
  <si>
    <t>18, rue Jardin</t>
  </si>
  <si>
    <t>1, rue de la Mairie</t>
  </si>
  <si>
    <t>25, rue de Stade</t>
  </si>
  <si>
    <t>21, rue de la Gare</t>
  </si>
  <si>
    <t>Paris</t>
  </si>
  <si>
    <t>Lille</t>
  </si>
  <si>
    <t>Lyon</t>
  </si>
  <si>
    <t>Valencienne</t>
  </si>
  <si>
    <t>Marseille</t>
  </si>
  <si>
    <t>06 07 08 09 10</t>
  </si>
  <si>
    <t>07 06 02 55 20</t>
  </si>
  <si>
    <t>01 55 36 24 12</t>
  </si>
  <si>
    <t>08 23 33 17 10</t>
  </si>
  <si>
    <t>01 58 78 21 12</t>
  </si>
  <si>
    <t>07 52 17 35 62</t>
  </si>
  <si>
    <t>06 53 99 20 05</t>
  </si>
  <si>
    <t>03 28 17 19 21</t>
  </si>
  <si>
    <t>01 96 52 14 10</t>
  </si>
  <si>
    <t>07 67 88 72 42</t>
  </si>
  <si>
    <t>Nafy</t>
  </si>
  <si>
    <t>Sokhna</t>
  </si>
  <si>
    <t>nafy.sokhna@gmail.com</t>
  </si>
  <si>
    <t>awa.thiam@gmail.com</t>
  </si>
  <si>
    <t>modou.fall@gmail.com</t>
  </si>
  <si>
    <t>abdou.camara@gmail.com</t>
  </si>
  <si>
    <t>ismaila.ba@hotmail.com</t>
  </si>
  <si>
    <t>khoury.sene@hatmail.com</t>
  </si>
  <si>
    <t>rama.mbow@yahoo.fr</t>
  </si>
  <si>
    <t>khady.ndiaye@yahoo.fr</t>
  </si>
  <si>
    <t>habib.mbow@gmail.com</t>
  </si>
  <si>
    <t>fatou.mbow@gmail.com</t>
  </si>
  <si>
    <t>Statut</t>
  </si>
  <si>
    <t>Date Embauche</t>
  </si>
  <si>
    <t>Service</t>
  </si>
  <si>
    <t>Commentaire</t>
  </si>
  <si>
    <t>01 02 03 04 05</t>
  </si>
  <si>
    <t>04 02 03 04 05</t>
  </si>
  <si>
    <t>01 03 04 05 06</t>
  </si>
  <si>
    <t>01 03 04 05 55</t>
  </si>
  <si>
    <t>01 03 04 05 58</t>
  </si>
  <si>
    <t>01 03 04 05 52</t>
  </si>
  <si>
    <t>01 03 04 05 96</t>
  </si>
  <si>
    <t>01 03 04 05 53</t>
  </si>
  <si>
    <t>01 03 04 05 28</t>
  </si>
  <si>
    <t>01 03 04 05 67</t>
  </si>
  <si>
    <t>Salaire Base</t>
  </si>
  <si>
    <t>Cadre</t>
  </si>
  <si>
    <t>Secrétaire</t>
  </si>
  <si>
    <t>Agent</t>
  </si>
  <si>
    <t>Agent Maitrise</t>
  </si>
  <si>
    <t>Directeur</t>
  </si>
  <si>
    <t>Informatique</t>
  </si>
  <si>
    <t>Commmercial</t>
  </si>
  <si>
    <t>Qualité</t>
  </si>
  <si>
    <t>Marketing</t>
  </si>
  <si>
    <t>Comptabilité</t>
  </si>
  <si>
    <t>RH</t>
  </si>
  <si>
    <t>Licence</t>
  </si>
  <si>
    <t>Bac+2</t>
  </si>
  <si>
    <t>Espagnol</t>
  </si>
  <si>
    <t>2ans</t>
  </si>
  <si>
    <t>Bac+3 - 6 ans d'expérience</t>
  </si>
  <si>
    <t>Bac+5</t>
  </si>
  <si>
    <t>MBA</t>
  </si>
  <si>
    <t xml:space="preserve">Bac+3 </t>
  </si>
  <si>
    <t>Anglais</t>
  </si>
  <si>
    <t>Italien</t>
  </si>
  <si>
    <t>Français</t>
  </si>
  <si>
    <t>Portuguais</t>
  </si>
  <si>
    <t>Production</t>
  </si>
  <si>
    <t>Commercial</t>
  </si>
  <si>
    <t>Agent de maitrice</t>
  </si>
  <si>
    <t>Comminucation</t>
  </si>
  <si>
    <t>Communication</t>
  </si>
  <si>
    <t>Sécrétaire</t>
  </si>
  <si>
    <t>Expérience</t>
  </si>
  <si>
    <t>Téléphone Fixe</t>
  </si>
  <si>
    <t>Téléphone Mobile</t>
  </si>
  <si>
    <t>Email</t>
  </si>
  <si>
    <t>Code Postale</t>
  </si>
  <si>
    <t>Martin</t>
  </si>
  <si>
    <t>Broze</t>
  </si>
  <si>
    <t>martin.broze@Ste.fr</t>
  </si>
  <si>
    <t>10/03/2015</t>
  </si>
  <si>
    <t>3 ans</t>
  </si>
  <si>
    <t>Anglais lu et écrit</t>
  </si>
  <si>
    <t>2, rue de la liberté</t>
  </si>
  <si>
    <t>07 12 21 45 70</t>
  </si>
  <si>
    <t>01 03 08 20 52</t>
  </si>
  <si>
    <t>Jean Paul</t>
  </si>
  <si>
    <t>Diaz</t>
  </si>
  <si>
    <t>Avenue Bourguiba</t>
  </si>
  <si>
    <t>jean.diaz@ste.fr</t>
  </si>
  <si>
    <t>0110203028</t>
  </si>
  <si>
    <t>0335471869</t>
  </si>
  <si>
    <t>02/05/2014</t>
  </si>
  <si>
    <t>2800</t>
  </si>
  <si>
    <t>Étiquettes de lignes</t>
  </si>
  <si>
    <t>Total général</t>
  </si>
  <si>
    <t>Nombre de Service</t>
  </si>
  <si>
    <t>Total Salarié</t>
  </si>
  <si>
    <r>
      <rPr>
        <b/>
        <sz val="18"/>
        <color theme="0"/>
        <rFont val="Times New Roman"/>
        <family val="1"/>
      </rPr>
      <t>TABLEAU DE BORD - GESTION</t>
    </r>
    <r>
      <rPr>
        <b/>
        <sz val="24"/>
        <color theme="0"/>
        <rFont val="Times New Roman"/>
        <family val="1"/>
      </rPr>
      <t xml:space="preserve">  </t>
    </r>
    <r>
      <rPr>
        <b/>
        <sz val="18"/>
        <color theme="0"/>
        <rFont val="Times New Roman"/>
        <family val="1"/>
      </rPr>
      <t>DES SALARIES</t>
    </r>
  </si>
  <si>
    <t>Pour Aller dans la feuille Tableau de bord</t>
  </si>
  <si>
    <t>Pour Visualiser les deux autres feuilles cliquez sur ces boutons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</si>
</sst>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0#&quot; &quot;##&quot; &quot;##&quot; &quot;##&quot; &quot;##"/>
    <numFmt numFmtId="166" formatCode="00000"/>
    <numFmt numFmtId="167" formatCode="#,##0\ &quot;€&quot;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24"/>
      <name val="Times New Roman"/>
      <family val="1"/>
    </font>
    <font>
      <b/>
      <sz val="24"/>
      <color theme="0"/>
      <name val="Times New Roman"/>
      <family val="1"/>
    </font>
    <font>
      <sz val="11"/>
      <name val="Calibri"/>
      <family val="2"/>
      <scheme val="minor"/>
    </font>
    <font>
      <b/>
      <sz val="18"/>
      <color theme="0"/>
      <name val="Times New Roman"/>
      <family val="1"/>
    </font>
    <font>
      <sz val="14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2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left"/>
    </xf>
    <xf numFmtId="0" fontId="3" fillId="2" borderId="1" xfId="0" applyFont="1" applyFill="1" applyBorder="1" applyAlignment="1">
      <alignment horizontal="left" vertical="center"/>
    </xf>
    <xf numFmtId="0" fontId="0" fillId="0" borderId="5" xfId="0" applyBorder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/>
    <xf numFmtId="0" fontId="0" fillId="0" borderId="5" xfId="0" applyBorder="1" applyAlignment="1"/>
    <xf numFmtId="0" fontId="1" fillId="0" borderId="1" xfId="1" applyBorder="1" applyAlignment="1"/>
    <xf numFmtId="0" fontId="1" fillId="0" borderId="5" xfId="1" applyBorder="1" applyAlignment="1"/>
    <xf numFmtId="0" fontId="0" fillId="0" borderId="7" xfId="0" applyBorder="1"/>
    <xf numFmtId="0" fontId="1" fillId="0" borderId="7" xfId="1" applyBorder="1" applyAlignment="1"/>
    <xf numFmtId="0" fontId="0" fillId="0" borderId="2" xfId="0" applyBorder="1"/>
    <xf numFmtId="0" fontId="0" fillId="0" borderId="3" xfId="0" applyBorder="1"/>
    <xf numFmtId="0" fontId="3" fillId="2" borderId="4" xfId="0" applyFont="1" applyFill="1" applyBorder="1" applyAlignment="1">
      <alignment horizontal="left" vertical="center"/>
    </xf>
    <xf numFmtId="0" fontId="0" fillId="0" borderId="10" xfId="0" applyBorder="1"/>
    <xf numFmtId="0" fontId="0" fillId="0" borderId="9" xfId="0" applyBorder="1"/>
    <xf numFmtId="0" fontId="0" fillId="0" borderId="11" xfId="0" applyBorder="1"/>
    <xf numFmtId="14" fontId="0" fillId="0" borderId="1" xfId="0" applyNumberFormat="1" applyBorder="1"/>
    <xf numFmtId="14" fontId="0" fillId="0" borderId="9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3" fillId="2" borderId="6" xfId="0" applyFont="1" applyFill="1" applyBorder="1" applyAlignment="1">
      <alignment horizontal="left" vertical="center"/>
    </xf>
    <xf numFmtId="0" fontId="0" fillId="0" borderId="7" xfId="0" applyBorder="1" applyAlignment="1"/>
    <xf numFmtId="0" fontId="0" fillId="0" borderId="8" xfId="0" applyBorder="1"/>
    <xf numFmtId="0" fontId="0" fillId="0" borderId="0" xfId="0" applyNumberFormat="1"/>
    <xf numFmtId="0" fontId="5" fillId="0" borderId="0" xfId="0" applyFont="1"/>
    <xf numFmtId="14" fontId="0" fillId="0" borderId="7" xfId="0" applyNumberFormat="1" applyBorder="1" applyAlignment="1">
      <alignment horizontal="left"/>
    </xf>
    <xf numFmtId="14" fontId="3" fillId="2" borderId="4" xfId="0" applyNumberFormat="1" applyFont="1" applyFill="1" applyBorder="1" applyAlignment="1">
      <alignment horizontal="left" vertical="center"/>
    </xf>
    <xf numFmtId="14" fontId="0" fillId="0" borderId="0" xfId="0" applyNumberFormat="1"/>
    <xf numFmtId="49" fontId="3" fillId="2" borderId="0" xfId="0" applyNumberFormat="1" applyFont="1" applyFill="1" applyBorder="1" applyAlignment="1">
      <alignment horizontal="left" vertical="center"/>
    </xf>
    <xf numFmtId="165" fontId="0" fillId="0" borderId="7" xfId="0" applyNumberFormat="1" applyBorder="1" applyAlignment="1"/>
    <xf numFmtId="165" fontId="0" fillId="0" borderId="1" xfId="0" applyNumberFormat="1" applyBorder="1" applyAlignment="1">
      <alignment horizontal="left"/>
    </xf>
    <xf numFmtId="165" fontId="0" fillId="0" borderId="1" xfId="0" applyNumberFormat="1" applyBorder="1" applyAlignment="1"/>
    <xf numFmtId="165" fontId="0" fillId="0" borderId="0" xfId="0" applyNumberFormat="1" applyBorder="1" applyAlignment="1"/>
    <xf numFmtId="165" fontId="3" fillId="2" borderId="1" xfId="0" applyNumberFormat="1" applyFont="1" applyFill="1" applyBorder="1" applyAlignment="1">
      <alignment horizontal="left" vertical="center"/>
    </xf>
    <xf numFmtId="166" fontId="3" fillId="2" borderId="1" xfId="0" applyNumberFormat="1" applyFont="1" applyFill="1" applyBorder="1" applyAlignment="1">
      <alignment horizontal="left" vertical="center"/>
    </xf>
    <xf numFmtId="166" fontId="0" fillId="0" borderId="1" xfId="0" applyNumberFormat="1" applyBorder="1" applyAlignment="1">
      <alignment horizontal="left"/>
    </xf>
    <xf numFmtId="166" fontId="0" fillId="0" borderId="5" xfId="0" applyNumberFormat="1" applyBorder="1" applyAlignment="1">
      <alignment horizontal="left"/>
    </xf>
    <xf numFmtId="166" fontId="0" fillId="0" borderId="7" xfId="0" applyNumberFormat="1" applyBorder="1" applyAlignment="1">
      <alignment horizontal="left"/>
    </xf>
    <xf numFmtId="166" fontId="0" fillId="0" borderId="1" xfId="0" applyNumberFormat="1" applyBorder="1"/>
    <xf numFmtId="166" fontId="0" fillId="0" borderId="0" xfId="0" applyNumberFormat="1"/>
    <xf numFmtId="165" fontId="0" fillId="0" borderId="0" xfId="0" applyNumberFormat="1" applyAlignment="1"/>
    <xf numFmtId="167" fontId="3" fillId="2" borderId="4" xfId="0" applyNumberFormat="1" applyFont="1" applyFill="1" applyBorder="1" applyAlignment="1">
      <alignment horizontal="left" vertical="center"/>
    </xf>
    <xf numFmtId="167" fontId="0" fillId="0" borderId="1" xfId="0" applyNumberFormat="1" applyBorder="1" applyAlignment="1">
      <alignment horizontal="left"/>
    </xf>
    <xf numFmtId="167" fontId="0" fillId="0" borderId="1" xfId="0" applyNumberFormat="1" applyBorder="1" applyAlignment="1">
      <alignment horizontal="left" vertical="top"/>
    </xf>
    <xf numFmtId="167" fontId="0" fillId="0" borderId="7" xfId="0" applyNumberFormat="1" applyBorder="1" applyAlignment="1">
      <alignment horizontal="left"/>
    </xf>
    <xf numFmtId="167" fontId="0" fillId="0" borderId="1" xfId="0" applyNumberFormat="1" applyBorder="1"/>
    <xf numFmtId="167" fontId="0" fillId="0" borderId="0" xfId="0" applyNumberFormat="1"/>
    <xf numFmtId="166" fontId="0" fillId="0" borderId="7" xfId="2" applyNumberFormat="1" applyFont="1" applyBorder="1" applyAlignment="1">
      <alignment horizontal="left"/>
    </xf>
    <xf numFmtId="0" fontId="0" fillId="0" borderId="0" xfId="0" pivotButton="1"/>
    <xf numFmtId="0" fontId="7" fillId="3" borderId="0" xfId="0" applyFont="1" applyFill="1" applyAlignment="1"/>
    <xf numFmtId="0" fontId="9" fillId="0" borderId="0" xfId="0" applyFont="1"/>
    <xf numFmtId="0" fontId="9" fillId="3" borderId="0" xfId="0" applyFont="1" applyFill="1" applyBorder="1"/>
    <xf numFmtId="0" fontId="4" fillId="3" borderId="0" xfId="0" applyFont="1" applyFill="1" applyBorder="1"/>
    <xf numFmtId="0" fontId="0" fillId="3" borderId="0" xfId="0" applyFill="1" applyBorder="1"/>
    <xf numFmtId="0" fontId="7" fillId="3" borderId="0" xfId="0" applyFont="1" applyFill="1" applyBorder="1" applyAlignment="1"/>
    <xf numFmtId="0" fontId="0" fillId="5" borderId="0" xfId="0" applyFill="1"/>
    <xf numFmtId="0" fontId="13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22"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 diagonalUp="0" diagonalDown="0">
        <left style="medium">
          <color theme="1"/>
        </left>
        <right/>
        <top style="medium">
          <color theme="1"/>
        </top>
        <bottom style="medium">
          <color theme="1"/>
        </bottom>
        <vertical/>
        <horizontal/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numFmt numFmtId="167" formatCode="#,##0\ &quot;€&quot;"/>
      <alignment horizontal="left" vertical="bottom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numFmt numFmtId="168" formatCode="m/d/yyyy"/>
      <alignment horizontal="left" vertical="bottom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numFmt numFmtId="165" formatCode="0#&quot; &quot;##&quot; &quot;##&quot; &quot;##&quot; &quot;##"/>
      <alignment horizontal="general" vertical="bottom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numFmt numFmtId="166" formatCode="00000"/>
      <alignment horizontal="left" vertical="bottom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border outline="0">
        <left style="medium">
          <color theme="1"/>
        </left>
        <right style="medium">
          <color theme="1"/>
        </right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theme="1"/>
        </left>
        <right style="medium">
          <color theme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[HABIB_MBOW_VBA.xlsm]Liste!Tableau croisé dynamique2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par Service</a:t>
            </a:r>
            <a:endParaRPr lang="en-US"/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Liste!$B$11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Liste!$A$12:$A$19</c:f>
              <c:strCache>
                <c:ptCount val="7"/>
                <c:pt idx="0">
                  <c:v>Commmercial</c:v>
                </c:pt>
                <c:pt idx="1">
                  <c:v>Comptabilité</c:v>
                </c:pt>
                <c:pt idx="2">
                  <c:v>Informatique</c:v>
                </c:pt>
                <c:pt idx="3">
                  <c:v>Marketing</c:v>
                </c:pt>
                <c:pt idx="4">
                  <c:v>Production</c:v>
                </c:pt>
                <c:pt idx="5">
                  <c:v>Qualité</c:v>
                </c:pt>
                <c:pt idx="6">
                  <c:v>RH</c:v>
                </c:pt>
              </c:strCache>
            </c:strRef>
          </c:cat>
          <c:val>
            <c:numRef>
              <c:f>Liste!$B$12:$B$19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89-4995-8B75-E05E2EADEB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47471167"/>
        <c:axId val="1972127199"/>
      </c:barChart>
      <c:catAx>
        <c:axId val="247471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2127199"/>
        <c:crosses val="autoZero"/>
        <c:auto val="1"/>
        <c:lblAlgn val="ctr"/>
        <c:lblOffset val="100"/>
        <c:noMultiLvlLbl val="0"/>
      </c:catAx>
      <c:valAx>
        <c:axId val="197212719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4747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431800</xdr:colOff>
      <xdr:row>4</xdr:row>
      <xdr:rowOff>158750</xdr:rowOff>
    </xdr:from>
    <xdr:to>
      <xdr:col>17</xdr:col>
      <xdr:colOff>444500</xdr:colOff>
      <xdr:row>6</xdr:row>
      <xdr:rowOff>88900</xdr:rowOff>
    </xdr:to>
    <xdr:sp macro="[0]!Moduletableaubord.Lancer_Formulai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763C53D-628B-402F-88FC-EED3644EB658}"/>
            </a:ext>
          </a:extLst>
        </xdr:cNvPr>
        <xdr:cNvSpPr/>
      </xdr:nvSpPr>
      <xdr:spPr>
        <a:xfrm>
          <a:off x="18516600" y="1054100"/>
          <a:ext cx="1536700" cy="3111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atin typeface="Times New Roman" panose="02020603050405020304" pitchFamily="18" charset="0"/>
              <a:cs typeface="Times New Roman" panose="02020603050405020304" pitchFamily="18" charset="0"/>
            </a:rPr>
            <a:t>Vers</a:t>
          </a:r>
          <a:r>
            <a:rPr lang="fr-FR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Tableau de Bord</a:t>
          </a:r>
          <a:endParaRPr lang="fr-FR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18</xdr:col>
      <xdr:colOff>419100</xdr:colOff>
      <xdr:row>4</xdr:row>
      <xdr:rowOff>165100</xdr:rowOff>
    </xdr:from>
    <xdr:to>
      <xdr:col>20</xdr:col>
      <xdr:colOff>374650</xdr:colOff>
      <xdr:row>6</xdr:row>
      <xdr:rowOff>76200</xdr:rowOff>
    </xdr:to>
    <xdr:sp macro="[0]!Moduleliste.Lancer_Formulai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A0EC35F-56F1-469C-8735-B9C54FE71973}"/>
            </a:ext>
          </a:extLst>
        </xdr:cNvPr>
        <xdr:cNvSpPr/>
      </xdr:nvSpPr>
      <xdr:spPr>
        <a:xfrm>
          <a:off x="20789900" y="1060450"/>
          <a:ext cx="1670050" cy="2921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latin typeface="Times New Roman" panose="02020603050405020304" pitchFamily="18" charset="0"/>
              <a:cs typeface="Times New Roman" panose="02020603050405020304" pitchFamily="18" charset="0"/>
            </a:rPr>
            <a:t>Vers</a:t>
          </a:r>
          <a:r>
            <a:rPr lang="fr-FR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Liste</a:t>
          </a:r>
          <a:endParaRPr lang="fr-FR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276412</xdr:colOff>
      <xdr:row>12</xdr:row>
      <xdr:rowOff>29883</xdr:rowOff>
    </xdr:from>
    <xdr:to>
      <xdr:col>4</xdr:col>
      <xdr:colOff>508000</xdr:colOff>
      <xdr:row>13</xdr:row>
      <xdr:rowOff>156883</xdr:rowOff>
    </xdr:to>
    <xdr:sp macro="[0]!liste_Tableaubord.Lancer_Formulair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256DAF8-DEC4-455E-A922-85713FB7AC3C}"/>
            </a:ext>
          </a:extLst>
        </xdr:cNvPr>
        <xdr:cNvSpPr/>
      </xdr:nvSpPr>
      <xdr:spPr>
        <a:xfrm>
          <a:off x="4542118" y="2271059"/>
          <a:ext cx="1852706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latin typeface="Times New Roman" panose="02020603050405020304" pitchFamily="18" charset="0"/>
              <a:cs typeface="Times New Roman" panose="02020603050405020304" pitchFamily="18" charset="0"/>
            </a:rPr>
            <a:t>Tableau de Bord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400050</xdr:colOff>
      <xdr:row>0</xdr:row>
      <xdr:rowOff>146050</xdr:rowOff>
    </xdr:from>
    <xdr:to>
      <xdr:col>10</xdr:col>
      <xdr:colOff>292100</xdr:colOff>
      <xdr:row>2</xdr:row>
      <xdr:rowOff>19050</xdr:rowOff>
    </xdr:to>
    <xdr:sp macro="[0]!ModuleSaisie.Lancer_Formulai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5914BE-5D0A-4019-8EEA-B9D86DDBF3A9}"/>
            </a:ext>
          </a:extLst>
        </xdr:cNvPr>
        <xdr:cNvSpPr/>
      </xdr:nvSpPr>
      <xdr:spPr>
        <a:xfrm>
          <a:off x="7531100" y="146050"/>
          <a:ext cx="1416050" cy="2476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Afficher</a:t>
          </a:r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formulaire</a:t>
          </a:r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0</xdr:col>
      <xdr:colOff>22784</xdr:colOff>
      <xdr:row>3</xdr:row>
      <xdr:rowOff>51921</xdr:rowOff>
    </xdr:from>
    <xdr:to>
      <xdr:col>6</xdr:col>
      <xdr:colOff>1162050</xdr:colOff>
      <xdr:row>18</xdr:row>
      <xdr:rowOff>32871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621F6A-9EE6-417F-B454-8C8A2312F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BIB" refreshedDate="43999.831985069446" createdVersion="6" refreshedVersion="6" minRefreshableVersion="3" recordCount="27" xr:uid="{AD2205E2-F144-4C88-8473-1BF7A77C6FA6}">
  <cacheSource type="worksheet">
    <worksheetSource ref="K1:K1048576" sheet="Source"/>
  </cacheSource>
  <cacheFields count="1">
    <cacheField name="Service" numFmtId="0">
      <sharedItems containsBlank="1" count="8">
        <s v="Informatique"/>
        <s v="Production"/>
        <s v="Commmercial"/>
        <s v="Qualité"/>
        <s v="Comptabilité"/>
        <s v="Marketing"/>
        <s v="R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</r>
  <r>
    <x v="1"/>
  </r>
  <r>
    <x v="2"/>
  </r>
  <r>
    <x v="3"/>
  </r>
  <r>
    <x v="4"/>
  </r>
  <r>
    <x v="5"/>
  </r>
  <r>
    <x v="1"/>
  </r>
  <r>
    <x v="6"/>
  </r>
  <r>
    <x v="3"/>
  </r>
  <r>
    <x v="3"/>
  </r>
  <r>
    <x v="4"/>
  </r>
  <r>
    <x v="1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97BEEF-D3F9-47FC-8548-4F2E93C568F2}" name="Tableau croisé dynamique2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3">
  <location ref="A11:B19" firstHeaderRow="1" firstDataRow="1" firstDataCol="1"/>
  <pivotFields count="1">
    <pivotField axis="axisRow" dataField="1" showAll="0">
      <items count="9">
        <item x="2"/>
        <item x="4"/>
        <item x="0"/>
        <item x="5"/>
        <item x="1"/>
        <item x="3"/>
        <item x="6"/>
        <item h="1" x="7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Nombre de Service" fld="0" subtotal="count" baseField="0" baseItem="0"/>
  </dataFields>
  <chartFormats count="1">
    <chartFormat chart="1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41F55B-8EF3-45AA-8288-A1CF3AF4FBD8}" name="Tableau1" displayName="Tableau1" ref="A1:N13" totalsRowShown="0" headerRowDxfId="21" tableBorderDxfId="20">
  <autoFilter ref="A1:N13" xr:uid="{5AC19875-8358-41B1-A319-8C802A3C156D}"/>
  <tableColumns count="14">
    <tableColumn id="3" xr3:uid="{3DFA12F7-C278-4D08-80FA-8E31F25820CD}" name="Prénom" dataDxfId="19"/>
    <tableColumn id="4" xr3:uid="{D53D3097-33B5-4DCA-B011-E4DDB0D6BF1B}" name="Nom" dataDxfId="18"/>
    <tableColumn id="5" xr3:uid="{5C00215B-D182-484A-9DF4-5FF62F488ADC}" name="Adresse" dataDxfId="17"/>
    <tableColumn id="6" xr3:uid="{50AFDD61-F5F9-4623-8176-4BCEABB8AD82}" name="Code Postale" dataDxfId="16"/>
    <tableColumn id="7" xr3:uid="{F99ECECF-6AE0-4AB7-98CC-60CA10A1AA78}" name="Ville" dataDxfId="15"/>
    <tableColumn id="8" xr3:uid="{B929B886-BC2A-42FA-B794-EE81F6129F84}" name="Email" dataDxfId="14" dataCellStyle="Lien hypertexte"/>
    <tableColumn id="9" xr3:uid="{75FF20E4-FDDD-4EA1-9A28-B0C6090828DC}" name="Téléphone Fixe" dataDxfId="13"/>
    <tableColumn id="10" xr3:uid="{7A8A7A31-57F0-4AA8-BDDF-0E3663558835}" name="Téléphone Mobile" dataDxfId="12"/>
    <tableColumn id="11" xr3:uid="{2D63E3E7-F529-4C3E-8EFB-336EF151227E}" name="Statut" dataDxfId="11"/>
    <tableColumn id="12" xr3:uid="{4AAC8F43-9320-441F-BD79-21FB636F22B3}" name="Date Embauche" dataDxfId="10"/>
    <tableColumn id="13" xr3:uid="{AC43FFE6-5648-46DC-950D-9EAB142B3320}" name="Service" dataDxfId="9"/>
    <tableColumn id="14" xr3:uid="{C6AD6143-ACA3-4261-9191-D40D52F2C2FA}" name="Salaire Base" dataDxfId="8"/>
    <tableColumn id="15" xr3:uid="{BF2AF807-F539-442B-A2DB-CB830136B067}" name="Expérience" dataDxfId="7"/>
    <tableColumn id="16" xr3:uid="{EB8267C0-84FD-4A80-9B4E-3189203E0659}" name="Commentair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B0DD9E-717C-41EB-A0F3-77DB643426C1}" name="TService" displayName="TService" ref="A1:A8" totalsRowShown="0" headerRowDxfId="5" dataDxfId="4">
  <autoFilter ref="A1:A8" xr:uid="{FE1639B8-884C-41BA-B345-6A732CC49B54}"/>
  <tableColumns count="1">
    <tableColumn id="1" xr3:uid="{2C43BFCF-A683-447B-BAA0-BD029F2F7CA3}" name="Service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F09E9F-901A-48C7-A6C1-6D887EA01196}" name="TStatut" displayName="TStatut" ref="C1:C7" totalsRowShown="0" headerRowDxfId="2" dataDxfId="1">
  <autoFilter ref="C1:C7" xr:uid="{40864C11-E72A-4E84-9AE1-8E3AD1175814}"/>
  <tableColumns count="1">
    <tableColumn id="1" xr3:uid="{9A16A7A2-3786-4B96-9A8D-5EBA0ED5A5FF}" name="Statut" dataDxfId="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A989E1C-636C-456E-9338-00791894733E}" name="Tsalarié" displayName="Tsalarié" ref="E1:E2" totalsRowShown="0">
  <autoFilter ref="E1:E2" xr:uid="{73C8850B-B891-4A2E-8416-D2207371B54C}"/>
  <tableColumns count="1">
    <tableColumn id="1" xr3:uid="{83256BCD-CAB0-4587-AC51-8CE460B20083}" name="Total Salarié">
      <calculatedColumnFormula>COUNTA(Tableau1[Nom])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fatou.mbow@gmail.com" TargetMode="External"/><Relationship Id="rId13" Type="http://schemas.openxmlformats.org/officeDocument/2006/relationships/table" Target="../tables/table1.xml"/><Relationship Id="rId3" Type="http://schemas.openxmlformats.org/officeDocument/2006/relationships/hyperlink" Target="mailto:abdou.camara@gmail.com" TargetMode="External"/><Relationship Id="rId7" Type="http://schemas.openxmlformats.org/officeDocument/2006/relationships/hyperlink" Target="mailto:habib.mbow@gmail.co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mailto:modou.fall@gmail.com" TargetMode="External"/><Relationship Id="rId1" Type="http://schemas.openxmlformats.org/officeDocument/2006/relationships/hyperlink" Target="mailto:awa.thiam@gmail.com" TargetMode="External"/><Relationship Id="rId6" Type="http://schemas.openxmlformats.org/officeDocument/2006/relationships/hyperlink" Target="mailto:khady.ndiaye@yahoo.fr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rama.mbow@yahoo.fr" TargetMode="External"/><Relationship Id="rId10" Type="http://schemas.openxmlformats.org/officeDocument/2006/relationships/hyperlink" Target="mailto:nafy.sokhna@gmail.com" TargetMode="External"/><Relationship Id="rId4" Type="http://schemas.openxmlformats.org/officeDocument/2006/relationships/hyperlink" Target="mailto:ismaila.ba@hotmail.com" TargetMode="External"/><Relationship Id="rId9" Type="http://schemas.openxmlformats.org/officeDocument/2006/relationships/hyperlink" Target="mailto:khoury.sene@hat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D3302-0D84-4778-AFC8-2A7685B1ADF5}">
  <sheetPr codeName="Feuil1"/>
  <dimension ref="A1:U27"/>
  <sheetViews>
    <sheetView tabSelected="1" workbookViewId="0"/>
  </sheetViews>
  <sheetFormatPr baseColWidth="10" defaultRowHeight="14.5" x14ac:dyDescent="0.35"/>
  <cols>
    <col min="1" max="1" width="13.36328125" customWidth="1"/>
    <col min="2" max="2" width="14.36328125" customWidth="1"/>
    <col min="3" max="3" width="21.1796875" customWidth="1"/>
    <col min="4" max="4" width="15.54296875" style="41" customWidth="1"/>
    <col min="5" max="5" width="14.6328125" customWidth="1"/>
    <col min="6" max="6" width="24.54296875" customWidth="1"/>
    <col min="7" max="7" width="20.36328125" style="42" customWidth="1"/>
    <col min="8" max="8" width="20.453125" customWidth="1"/>
    <col min="9" max="9" width="19.54296875" customWidth="1"/>
    <col min="10" max="10" width="16.81640625" style="29" customWidth="1"/>
    <col min="11" max="11" width="15.453125" customWidth="1"/>
    <col min="12" max="12" width="12.7265625" style="48" customWidth="1"/>
    <col min="13" max="13" width="24.7265625" customWidth="1"/>
    <col min="14" max="14" width="14.26953125" customWidth="1"/>
    <col min="20" max="20" width="13.6328125" customWidth="1"/>
  </cols>
  <sheetData>
    <row r="1" spans="1:21" ht="25" customHeight="1" thickBot="1" x14ac:dyDescent="0.4">
      <c r="A1" s="2" t="s">
        <v>0</v>
      </c>
      <c r="B1" s="2" t="s">
        <v>1</v>
      </c>
      <c r="C1" s="2" t="s">
        <v>2</v>
      </c>
      <c r="D1" s="36" t="s">
        <v>106</v>
      </c>
      <c r="E1" s="2" t="s">
        <v>3</v>
      </c>
      <c r="F1" s="2" t="s">
        <v>105</v>
      </c>
      <c r="G1" s="35" t="s">
        <v>103</v>
      </c>
      <c r="H1" s="30" t="s">
        <v>104</v>
      </c>
      <c r="I1" s="14" t="s">
        <v>58</v>
      </c>
      <c r="J1" s="28" t="s">
        <v>59</v>
      </c>
      <c r="K1" s="14" t="s">
        <v>60</v>
      </c>
      <c r="L1" s="43" t="s">
        <v>72</v>
      </c>
      <c r="M1" s="14" t="s">
        <v>102</v>
      </c>
      <c r="N1" s="22" t="s">
        <v>61</v>
      </c>
      <c r="P1" s="57"/>
      <c r="Q1" s="57"/>
      <c r="R1" s="57"/>
      <c r="S1" s="57"/>
      <c r="T1" s="57"/>
      <c r="U1" s="57"/>
    </row>
    <row r="2" spans="1:21" ht="15.5" customHeight="1" thickTop="1" thickBot="1" x14ac:dyDescent="0.4">
      <c r="A2" s="5" t="s">
        <v>46</v>
      </c>
      <c r="B2" s="4" t="s">
        <v>47</v>
      </c>
      <c r="C2" s="4" t="s">
        <v>21</v>
      </c>
      <c r="D2" s="37">
        <v>75001</v>
      </c>
      <c r="E2" s="4" t="s">
        <v>31</v>
      </c>
      <c r="F2" s="8" t="s">
        <v>48</v>
      </c>
      <c r="G2" s="32" t="s">
        <v>62</v>
      </c>
      <c r="H2" s="6" t="s">
        <v>36</v>
      </c>
      <c r="I2" s="12" t="s">
        <v>73</v>
      </c>
      <c r="J2" s="19">
        <v>41672</v>
      </c>
      <c r="K2" s="13" t="s">
        <v>78</v>
      </c>
      <c r="L2" s="44">
        <v>3000</v>
      </c>
      <c r="M2" s="4" t="s">
        <v>84</v>
      </c>
      <c r="N2" s="12" t="s">
        <v>92</v>
      </c>
      <c r="P2" s="58" t="s">
        <v>130</v>
      </c>
      <c r="Q2" s="58"/>
      <c r="R2" s="58"/>
      <c r="S2" s="58"/>
      <c r="T2" s="58"/>
      <c r="U2" s="58"/>
    </row>
    <row r="3" spans="1:21" ht="15" customHeight="1" thickBot="1" x14ac:dyDescent="0.4">
      <c r="A3" s="4" t="s">
        <v>12</v>
      </c>
      <c r="B3" s="4" t="s">
        <v>13</v>
      </c>
      <c r="C3" s="4" t="s">
        <v>22</v>
      </c>
      <c r="D3" s="37">
        <v>93000</v>
      </c>
      <c r="E3" s="4" t="s">
        <v>32</v>
      </c>
      <c r="F3" s="8" t="s">
        <v>49</v>
      </c>
      <c r="G3" s="33" t="s">
        <v>64</v>
      </c>
      <c r="H3" s="6" t="s">
        <v>37</v>
      </c>
      <c r="I3" s="4" t="s">
        <v>74</v>
      </c>
      <c r="J3" s="20">
        <v>40673</v>
      </c>
      <c r="K3" s="4" t="s">
        <v>96</v>
      </c>
      <c r="L3" s="45">
        <v>2500</v>
      </c>
      <c r="M3" s="4" t="s">
        <v>85</v>
      </c>
      <c r="N3" s="12" t="s">
        <v>94</v>
      </c>
      <c r="P3" s="59"/>
      <c r="Q3" s="59"/>
      <c r="R3" s="59"/>
      <c r="S3" s="59"/>
      <c r="T3" s="59"/>
      <c r="U3" s="59"/>
    </row>
    <row r="4" spans="1:21" ht="15" customHeight="1" thickBot="1" x14ac:dyDescent="0.4">
      <c r="A4" s="4" t="s">
        <v>7</v>
      </c>
      <c r="B4" s="4" t="s">
        <v>6</v>
      </c>
      <c r="C4" s="4" t="s">
        <v>23</v>
      </c>
      <c r="D4" s="37">
        <v>94320</v>
      </c>
      <c r="E4" s="4" t="s">
        <v>31</v>
      </c>
      <c r="F4" s="8" t="s">
        <v>50</v>
      </c>
      <c r="G4" s="33" t="s">
        <v>65</v>
      </c>
      <c r="H4" s="6" t="s">
        <v>38</v>
      </c>
      <c r="I4" s="4" t="s">
        <v>75</v>
      </c>
      <c r="J4" s="21">
        <v>39247</v>
      </c>
      <c r="K4" s="4" t="s">
        <v>79</v>
      </c>
      <c r="L4" s="44">
        <v>2600</v>
      </c>
      <c r="M4" s="4" t="s">
        <v>87</v>
      </c>
      <c r="N4" s="12" t="s">
        <v>86</v>
      </c>
      <c r="P4" s="57"/>
      <c r="Q4" s="57"/>
      <c r="R4" s="57"/>
      <c r="S4" s="57"/>
      <c r="T4" s="57"/>
      <c r="U4" s="57"/>
    </row>
    <row r="5" spans="1:21" ht="15" customHeight="1" thickBot="1" x14ac:dyDescent="0.4">
      <c r="A5" s="3" t="s">
        <v>8</v>
      </c>
      <c r="B5" s="3" t="s">
        <v>9</v>
      </c>
      <c r="C5" s="3" t="s">
        <v>24</v>
      </c>
      <c r="D5" s="38">
        <v>77135</v>
      </c>
      <c r="E5" s="3" t="s">
        <v>33</v>
      </c>
      <c r="F5" s="9" t="s">
        <v>51</v>
      </c>
      <c r="G5" s="33" t="s">
        <v>63</v>
      </c>
      <c r="H5" s="7" t="s">
        <v>39</v>
      </c>
      <c r="I5" s="4" t="s">
        <v>76</v>
      </c>
      <c r="J5" s="21">
        <v>40116</v>
      </c>
      <c r="K5" s="4" t="s">
        <v>80</v>
      </c>
      <c r="L5" s="44">
        <v>2400</v>
      </c>
      <c r="M5" s="4" t="s">
        <v>87</v>
      </c>
      <c r="N5" s="12" t="s">
        <v>93</v>
      </c>
      <c r="P5" s="57"/>
      <c r="Q5" s="57"/>
      <c r="R5" s="57"/>
      <c r="S5" s="57"/>
      <c r="T5" s="57"/>
      <c r="U5" s="57"/>
    </row>
    <row r="6" spans="1:21" ht="15" customHeight="1" thickBot="1" x14ac:dyDescent="0.4">
      <c r="A6" s="4" t="s">
        <v>10</v>
      </c>
      <c r="B6" s="4" t="s">
        <v>11</v>
      </c>
      <c r="C6" s="4" t="s">
        <v>25</v>
      </c>
      <c r="D6" s="37">
        <v>95000</v>
      </c>
      <c r="E6" s="4" t="s">
        <v>34</v>
      </c>
      <c r="F6" s="8" t="s">
        <v>52</v>
      </c>
      <c r="G6" s="33" t="s">
        <v>66</v>
      </c>
      <c r="H6" s="6" t="s">
        <v>40</v>
      </c>
      <c r="I6" s="4" t="s">
        <v>73</v>
      </c>
      <c r="J6" s="21">
        <v>40684</v>
      </c>
      <c r="K6" s="4" t="s">
        <v>82</v>
      </c>
      <c r="L6" s="44">
        <v>2400</v>
      </c>
      <c r="M6" s="4" t="s">
        <v>88</v>
      </c>
      <c r="N6" s="12" t="s">
        <v>94</v>
      </c>
      <c r="P6" s="57"/>
      <c r="Q6" s="57"/>
      <c r="R6" s="57"/>
      <c r="S6" s="57"/>
      <c r="T6" s="57"/>
      <c r="U6" s="57"/>
    </row>
    <row r="7" spans="1:21" ht="15" customHeight="1" thickBot="1" x14ac:dyDescent="0.4">
      <c r="A7" s="4" t="s">
        <v>14</v>
      </c>
      <c r="B7" s="4" t="s">
        <v>15</v>
      </c>
      <c r="C7" s="4" t="s">
        <v>26</v>
      </c>
      <c r="D7" s="37">
        <v>92000</v>
      </c>
      <c r="E7" s="4" t="s">
        <v>32</v>
      </c>
      <c r="F7" s="8" t="s">
        <v>53</v>
      </c>
      <c r="G7" s="33" t="s">
        <v>67</v>
      </c>
      <c r="H7" s="6" t="s">
        <v>41</v>
      </c>
      <c r="I7" s="4" t="s">
        <v>99</v>
      </c>
      <c r="J7" s="21">
        <v>39893</v>
      </c>
      <c r="K7" s="4" t="s">
        <v>81</v>
      </c>
      <c r="L7" s="44">
        <v>3500</v>
      </c>
      <c r="M7" s="4" t="s">
        <v>90</v>
      </c>
      <c r="N7" s="12" t="s">
        <v>94</v>
      </c>
      <c r="P7" s="57"/>
      <c r="Q7" s="57"/>
      <c r="R7" s="57"/>
      <c r="S7" s="57"/>
      <c r="T7" s="57"/>
      <c r="U7" s="57"/>
    </row>
    <row r="8" spans="1:21" ht="15" customHeight="1" thickBot="1" x14ac:dyDescent="0.4">
      <c r="A8" s="4" t="s">
        <v>16</v>
      </c>
      <c r="B8" s="4" t="s">
        <v>5</v>
      </c>
      <c r="C8" s="4" t="s">
        <v>27</v>
      </c>
      <c r="D8" s="37">
        <v>91000</v>
      </c>
      <c r="E8" s="4" t="s">
        <v>35</v>
      </c>
      <c r="F8" s="8" t="s">
        <v>54</v>
      </c>
      <c r="G8" s="33" t="s">
        <v>68</v>
      </c>
      <c r="H8" s="6" t="s">
        <v>44</v>
      </c>
      <c r="I8" s="4" t="s">
        <v>73</v>
      </c>
      <c r="J8" s="21">
        <v>40077</v>
      </c>
      <c r="K8" s="4" t="s">
        <v>96</v>
      </c>
      <c r="L8" s="44">
        <v>3000</v>
      </c>
      <c r="M8" s="4" t="s">
        <v>89</v>
      </c>
      <c r="N8" s="12" t="s">
        <v>92</v>
      </c>
      <c r="P8" s="57"/>
      <c r="Q8" s="57"/>
      <c r="R8" s="57"/>
      <c r="S8" s="57"/>
      <c r="T8" s="57"/>
      <c r="U8" s="57"/>
    </row>
    <row r="9" spans="1:21" ht="15" customHeight="1" thickBot="1" x14ac:dyDescent="0.4">
      <c r="A9" s="4" t="s">
        <v>17</v>
      </c>
      <c r="B9" s="4" t="s">
        <v>18</v>
      </c>
      <c r="C9" s="4" t="s">
        <v>28</v>
      </c>
      <c r="D9" s="37">
        <v>93420</v>
      </c>
      <c r="E9" s="4" t="s">
        <v>32</v>
      </c>
      <c r="F9" s="8" t="s">
        <v>55</v>
      </c>
      <c r="G9" s="33" t="s">
        <v>69</v>
      </c>
      <c r="H9" s="6" t="s">
        <v>42</v>
      </c>
      <c r="I9" s="4" t="s">
        <v>77</v>
      </c>
      <c r="J9" s="21">
        <v>40715</v>
      </c>
      <c r="K9" s="4" t="s">
        <v>83</v>
      </c>
      <c r="L9" s="44">
        <v>4600</v>
      </c>
      <c r="M9" s="4" t="s">
        <v>90</v>
      </c>
      <c r="N9" s="12" t="s">
        <v>95</v>
      </c>
      <c r="P9" s="57"/>
      <c r="Q9" s="57"/>
      <c r="R9" s="57"/>
      <c r="S9" s="57"/>
      <c r="T9" s="57"/>
      <c r="U9" s="57"/>
    </row>
    <row r="10" spans="1:21" ht="15" customHeight="1" thickBot="1" x14ac:dyDescent="0.4">
      <c r="A10" s="4" t="s">
        <v>19</v>
      </c>
      <c r="B10" s="4" t="s">
        <v>20</v>
      </c>
      <c r="C10" s="4" t="s">
        <v>29</v>
      </c>
      <c r="D10" s="37">
        <v>75125</v>
      </c>
      <c r="E10" s="4" t="s">
        <v>31</v>
      </c>
      <c r="F10" s="8" t="s">
        <v>57</v>
      </c>
      <c r="G10" s="33" t="s">
        <v>70</v>
      </c>
      <c r="H10" s="6" t="s">
        <v>43</v>
      </c>
      <c r="I10" s="4" t="s">
        <v>75</v>
      </c>
      <c r="J10" s="21">
        <v>39548</v>
      </c>
      <c r="K10" s="4" t="s">
        <v>80</v>
      </c>
      <c r="L10" s="44">
        <v>2100</v>
      </c>
      <c r="M10" s="4" t="s">
        <v>91</v>
      </c>
      <c r="N10" s="12" t="s">
        <v>92</v>
      </c>
      <c r="P10" s="57"/>
      <c r="Q10" s="57"/>
      <c r="R10" s="57"/>
      <c r="S10" s="57"/>
      <c r="T10" s="57"/>
      <c r="U10" s="57"/>
    </row>
    <row r="11" spans="1:21" ht="15" customHeight="1" thickBot="1" x14ac:dyDescent="0.4">
      <c r="A11" s="3" t="s">
        <v>4</v>
      </c>
      <c r="B11" s="3" t="s">
        <v>5</v>
      </c>
      <c r="C11" s="3" t="s">
        <v>30</v>
      </c>
      <c r="D11" s="38">
        <v>93500</v>
      </c>
      <c r="E11" s="3" t="s">
        <v>35</v>
      </c>
      <c r="F11" s="9" t="s">
        <v>56</v>
      </c>
      <c r="G11" s="34" t="s">
        <v>71</v>
      </c>
      <c r="H11" s="7" t="s">
        <v>45</v>
      </c>
      <c r="I11" s="4" t="s">
        <v>75</v>
      </c>
      <c r="J11" s="21">
        <v>41030</v>
      </c>
      <c r="K11" s="4" t="s">
        <v>80</v>
      </c>
      <c r="L11" s="44">
        <v>2100</v>
      </c>
      <c r="M11" s="4" t="s">
        <v>85</v>
      </c>
      <c r="N11" s="12" t="s">
        <v>94</v>
      </c>
      <c r="P11" s="57"/>
      <c r="Q11" s="57"/>
      <c r="R11" s="57"/>
      <c r="S11" s="57"/>
      <c r="T11" s="57"/>
      <c r="U11" s="57"/>
    </row>
    <row r="12" spans="1:21" ht="15" customHeight="1" thickBot="1" x14ac:dyDescent="0.4">
      <c r="A12" s="10" t="s">
        <v>107</v>
      </c>
      <c r="B12" s="10" t="s">
        <v>108</v>
      </c>
      <c r="C12" s="10" t="s">
        <v>113</v>
      </c>
      <c r="D12" s="39">
        <v>75000</v>
      </c>
      <c r="E12" s="10" t="s">
        <v>31</v>
      </c>
      <c r="F12" s="11" t="s">
        <v>109</v>
      </c>
      <c r="G12" s="31" t="s">
        <v>115</v>
      </c>
      <c r="H12" s="31" t="s">
        <v>114</v>
      </c>
      <c r="I12" s="10" t="s">
        <v>98</v>
      </c>
      <c r="J12" s="27" t="s">
        <v>110</v>
      </c>
      <c r="K12" s="10" t="s">
        <v>82</v>
      </c>
      <c r="L12" s="46">
        <v>2500</v>
      </c>
      <c r="M12" s="10" t="s">
        <v>111</v>
      </c>
      <c r="N12" s="24" t="s">
        <v>112</v>
      </c>
      <c r="P12" s="57"/>
      <c r="Q12" s="57"/>
      <c r="R12" s="57"/>
      <c r="S12" s="57"/>
      <c r="T12" s="57"/>
      <c r="U12" s="57"/>
    </row>
    <row r="13" spans="1:21" ht="15" customHeight="1" thickBot="1" x14ac:dyDescent="0.4">
      <c r="A13" s="10" t="s">
        <v>116</v>
      </c>
      <c r="B13" s="10" t="s">
        <v>117</v>
      </c>
      <c r="C13" s="10" t="s">
        <v>118</v>
      </c>
      <c r="D13" s="49">
        <v>59000</v>
      </c>
      <c r="E13" s="10" t="s">
        <v>33</v>
      </c>
      <c r="F13" s="11" t="s">
        <v>119</v>
      </c>
      <c r="G13" s="31" t="s">
        <v>120</v>
      </c>
      <c r="H13" s="23" t="s">
        <v>121</v>
      </c>
      <c r="I13" s="10" t="s">
        <v>75</v>
      </c>
      <c r="J13" s="27" t="s">
        <v>122</v>
      </c>
      <c r="K13" s="10" t="s">
        <v>96</v>
      </c>
      <c r="L13" s="46" t="s">
        <v>123</v>
      </c>
      <c r="M13" s="10" t="s">
        <v>87</v>
      </c>
      <c r="N13" s="24" t="s">
        <v>94</v>
      </c>
      <c r="P13" s="57"/>
      <c r="Q13" s="57"/>
      <c r="R13" s="57"/>
      <c r="S13" s="57"/>
      <c r="T13" s="57"/>
      <c r="U13" s="57"/>
    </row>
    <row r="14" spans="1:21" ht="15" customHeight="1" thickBot="1" x14ac:dyDescent="0.4">
      <c r="A14" s="4"/>
      <c r="B14" s="4"/>
      <c r="C14" s="4"/>
      <c r="D14" s="40"/>
      <c r="E14" s="4"/>
      <c r="F14" s="6"/>
      <c r="G14" s="33"/>
      <c r="H14" s="6"/>
      <c r="I14" s="4"/>
      <c r="J14" s="18"/>
      <c r="K14" s="4"/>
      <c r="L14" s="47"/>
      <c r="M14" s="4"/>
      <c r="N14" s="4"/>
      <c r="P14" s="57"/>
      <c r="Q14" s="57"/>
      <c r="R14" s="57"/>
      <c r="S14" s="57"/>
      <c r="T14" s="57"/>
      <c r="U14" s="57"/>
    </row>
    <row r="15" spans="1:21" ht="15" customHeight="1" thickBot="1" x14ac:dyDescent="0.4">
      <c r="A15" s="4"/>
      <c r="B15" s="4"/>
      <c r="C15" s="4"/>
      <c r="D15" s="40"/>
      <c r="E15" s="4"/>
      <c r="F15" s="6"/>
      <c r="G15" s="33"/>
      <c r="H15" s="6"/>
      <c r="I15" s="4"/>
      <c r="J15" s="18"/>
      <c r="K15" s="4"/>
      <c r="L15" s="47"/>
      <c r="M15" s="4"/>
      <c r="N15" s="4"/>
      <c r="P15" s="57"/>
      <c r="Q15" s="57"/>
      <c r="R15" s="57"/>
      <c r="S15" s="57"/>
      <c r="T15" s="57"/>
      <c r="U15" s="57"/>
    </row>
    <row r="16" spans="1:21" ht="15" customHeight="1" thickBot="1" x14ac:dyDescent="0.4">
      <c r="A16" s="4"/>
      <c r="B16" s="4"/>
      <c r="C16" s="4"/>
      <c r="D16" s="40"/>
      <c r="E16" s="4"/>
      <c r="F16" s="6"/>
      <c r="G16" s="33"/>
      <c r="H16" s="6"/>
      <c r="I16" s="4"/>
      <c r="J16" s="18"/>
      <c r="K16" s="4"/>
      <c r="L16" s="47"/>
      <c r="M16" s="4"/>
      <c r="N16" s="4"/>
      <c r="P16" s="57"/>
      <c r="Q16" s="57"/>
      <c r="R16" s="57"/>
      <c r="S16" s="57"/>
      <c r="T16" s="57"/>
      <c r="U16" s="57"/>
    </row>
    <row r="17" spans="1:14" ht="15" thickBot="1" x14ac:dyDescent="0.4">
      <c r="A17" s="4"/>
      <c r="B17" s="4"/>
      <c r="C17" s="4"/>
      <c r="D17" s="40"/>
      <c r="E17" s="4"/>
      <c r="F17" s="6"/>
      <c r="G17" s="33"/>
      <c r="H17" s="6"/>
      <c r="I17" s="4"/>
      <c r="J17" s="18"/>
      <c r="K17" s="4"/>
      <c r="L17" s="47"/>
      <c r="M17" s="4"/>
      <c r="N17" s="4"/>
    </row>
    <row r="18" spans="1:14" ht="15" thickBot="1" x14ac:dyDescent="0.4">
      <c r="A18" s="4"/>
      <c r="B18" s="4"/>
      <c r="C18" s="4"/>
      <c r="D18" s="40"/>
      <c r="E18" s="4"/>
      <c r="F18" s="6"/>
      <c r="G18" s="33"/>
      <c r="H18" s="6"/>
      <c r="I18" s="4"/>
      <c r="J18" s="18"/>
      <c r="K18" s="4"/>
      <c r="L18" s="47"/>
      <c r="M18" s="4"/>
      <c r="N18" s="4"/>
    </row>
    <row r="19" spans="1:14" ht="15" thickBot="1" x14ac:dyDescent="0.4">
      <c r="A19" s="4"/>
      <c r="B19" s="4"/>
      <c r="C19" s="4"/>
      <c r="D19" s="40"/>
      <c r="E19" s="4"/>
      <c r="F19" s="6"/>
      <c r="G19" s="33"/>
      <c r="H19" s="6"/>
      <c r="I19" s="4"/>
      <c r="J19" s="18"/>
      <c r="K19" s="4"/>
      <c r="L19" s="47"/>
      <c r="M19" s="4"/>
      <c r="N19" s="4"/>
    </row>
    <row r="20" spans="1:14" ht="15" thickBot="1" x14ac:dyDescent="0.4">
      <c r="A20" s="4"/>
      <c r="B20" s="4"/>
      <c r="C20" s="4"/>
      <c r="D20" s="40"/>
      <c r="E20" s="4"/>
      <c r="F20" s="6"/>
      <c r="G20" s="33"/>
      <c r="H20" s="6"/>
      <c r="I20" s="4"/>
      <c r="J20" s="18"/>
      <c r="K20" s="4"/>
      <c r="L20" s="47"/>
      <c r="M20" s="4"/>
      <c r="N20" s="4"/>
    </row>
    <row r="21" spans="1:14" ht="15" thickBot="1" x14ac:dyDescent="0.4">
      <c r="A21" s="4"/>
      <c r="B21" s="4"/>
      <c r="C21" s="4"/>
      <c r="D21" s="40"/>
      <c r="E21" s="4"/>
      <c r="F21" s="6"/>
      <c r="G21" s="33"/>
      <c r="H21" s="6"/>
      <c r="I21" s="4"/>
      <c r="J21" s="18"/>
      <c r="K21" s="4"/>
      <c r="L21" s="47"/>
      <c r="M21" s="4"/>
      <c r="N21" s="4"/>
    </row>
    <row r="22" spans="1:14" ht="15" thickBot="1" x14ac:dyDescent="0.4">
      <c r="A22" s="3"/>
      <c r="B22" s="4"/>
      <c r="C22" s="4"/>
      <c r="D22" s="40"/>
      <c r="E22" s="4"/>
      <c r="F22" s="6"/>
      <c r="G22" s="33"/>
      <c r="H22" s="6"/>
      <c r="I22" s="4"/>
      <c r="J22" s="18"/>
      <c r="K22" s="4"/>
      <c r="L22" s="47"/>
      <c r="M22" s="4"/>
      <c r="N22" s="4"/>
    </row>
    <row r="23" spans="1:14" ht="15" thickBot="1" x14ac:dyDescent="0.4">
      <c r="A23" s="4"/>
      <c r="B23" s="4"/>
      <c r="C23" s="4"/>
      <c r="D23" s="40"/>
      <c r="E23" s="4"/>
      <c r="F23" s="6"/>
      <c r="G23" s="33"/>
      <c r="H23" s="6"/>
      <c r="I23" s="4"/>
      <c r="J23" s="18"/>
      <c r="K23" s="4"/>
      <c r="L23" s="47"/>
      <c r="M23" s="4"/>
      <c r="N23" s="4"/>
    </row>
    <row r="24" spans="1:14" ht="15" thickBot="1" x14ac:dyDescent="0.4">
      <c r="A24" s="4"/>
      <c r="B24" s="3"/>
      <c r="C24" s="4"/>
      <c r="D24" s="40"/>
      <c r="E24" s="4"/>
      <c r="F24" s="6"/>
      <c r="G24" s="33"/>
      <c r="H24" s="6"/>
      <c r="I24" s="4"/>
      <c r="J24" s="18"/>
      <c r="K24" s="4"/>
      <c r="L24" s="47"/>
      <c r="M24" s="10"/>
      <c r="N24" s="10"/>
    </row>
    <row r="25" spans="1:14" ht="15.5" thickTop="1" thickBot="1" x14ac:dyDescent="0.4">
      <c r="M25" s="17"/>
      <c r="N25" s="16"/>
    </row>
    <row r="26" spans="1:14" ht="15.5" thickTop="1" thickBot="1" x14ac:dyDescent="0.4">
      <c r="M26" s="16"/>
      <c r="N26" s="15"/>
    </row>
    <row r="27" spans="1:14" ht="15" thickTop="1" x14ac:dyDescent="0.35"/>
  </sheetData>
  <mergeCells count="4">
    <mergeCell ref="P4:U16"/>
    <mergeCell ref="P1:U1"/>
    <mergeCell ref="P2:U2"/>
    <mergeCell ref="P3:U3"/>
  </mergeCells>
  <hyperlinks>
    <hyperlink ref="F3" r:id="rId1" xr:uid="{94E7E88C-D308-4144-9B69-F9820D92EAE9}"/>
    <hyperlink ref="F4" r:id="rId2" xr:uid="{2AD096BD-3D1C-40F3-B22E-F2F91647A8F9}"/>
    <hyperlink ref="F5" r:id="rId3" xr:uid="{E04B3827-0110-48A9-B654-ECC8E255836D}"/>
    <hyperlink ref="F6" r:id="rId4" xr:uid="{7940784D-BB16-4A26-9B3D-F03AB8012CA1}"/>
    <hyperlink ref="F8" r:id="rId5" xr:uid="{EF3B0322-5C5E-4EC9-936A-0A235C027E8A}"/>
    <hyperlink ref="F9" r:id="rId6" xr:uid="{5AB5D4D4-8671-426A-B301-3CA4AC6CB916}"/>
    <hyperlink ref="F11" r:id="rId7" xr:uid="{B032AD3F-A762-4AC8-82F3-91ADDF199B14}"/>
    <hyperlink ref="F10" r:id="rId8" xr:uid="{05FDBC7C-5748-4F6C-9D48-65324101F45A}"/>
    <hyperlink ref="F7" r:id="rId9" xr:uid="{C2FCBD20-F5AA-44D3-BC2B-ABD8E066F142}"/>
    <hyperlink ref="F2" r:id="rId10" xr:uid="{19D1B854-1418-469B-8D68-33ED7C15A4B9}"/>
  </hyperlinks>
  <pageMargins left="0.7" right="0.7" top="0.75" bottom="0.75" header="0.3" footer="0.3"/>
  <pageSetup paperSize="9" orientation="portrait" r:id="rId11"/>
  <drawing r:id="rId12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07D1F-3248-424A-AB21-A2097CF57D3F}">
  <sheetPr codeName="Feuil3"/>
  <dimension ref="A1:E19"/>
  <sheetViews>
    <sheetView zoomScale="85" zoomScaleNormal="85" workbookViewId="0">
      <selection activeCell="D9" sqref="D9:E10"/>
    </sheetView>
  </sheetViews>
  <sheetFormatPr baseColWidth="10" defaultRowHeight="14.5" x14ac:dyDescent="0.35"/>
  <cols>
    <col min="1" max="1" width="20.6328125" bestFit="1" customWidth="1"/>
    <col min="2" max="2" width="17.1796875" bestFit="1" customWidth="1"/>
    <col min="3" max="8" width="23.1796875" bestFit="1" customWidth="1"/>
    <col min="9" max="9" width="12.08984375" bestFit="1" customWidth="1"/>
  </cols>
  <sheetData>
    <row r="1" spans="1:5" x14ac:dyDescent="0.35">
      <c r="A1" s="26" t="s">
        <v>60</v>
      </c>
      <c r="C1" s="26" t="s">
        <v>58</v>
      </c>
      <c r="E1" t="s">
        <v>127</v>
      </c>
    </row>
    <row r="2" spans="1:5" x14ac:dyDescent="0.35">
      <c r="A2" s="26" t="s">
        <v>96</v>
      </c>
      <c r="C2" s="26" t="s">
        <v>75</v>
      </c>
      <c r="E2">
        <f>COUNTA(Tableau1[Nom])</f>
        <v>12</v>
      </c>
    </row>
    <row r="3" spans="1:5" x14ac:dyDescent="0.35">
      <c r="A3" s="26" t="s">
        <v>80</v>
      </c>
      <c r="C3" s="26" t="s">
        <v>98</v>
      </c>
    </row>
    <row r="4" spans="1:5" x14ac:dyDescent="0.35">
      <c r="A4" s="26" t="s">
        <v>83</v>
      </c>
      <c r="C4" s="26" t="s">
        <v>73</v>
      </c>
    </row>
    <row r="5" spans="1:5" x14ac:dyDescent="0.35">
      <c r="A5" s="26" t="s">
        <v>78</v>
      </c>
      <c r="C5" s="26" t="s">
        <v>77</v>
      </c>
    </row>
    <row r="6" spans="1:5" x14ac:dyDescent="0.35">
      <c r="A6" s="26" t="s">
        <v>82</v>
      </c>
      <c r="C6" s="26" t="s">
        <v>100</v>
      </c>
    </row>
    <row r="7" spans="1:5" x14ac:dyDescent="0.35">
      <c r="A7" s="26" t="s">
        <v>97</v>
      </c>
      <c r="C7" s="26" t="s">
        <v>101</v>
      </c>
    </row>
    <row r="8" spans="1:5" x14ac:dyDescent="0.35">
      <c r="A8" s="26" t="s">
        <v>81</v>
      </c>
    </row>
    <row r="9" spans="1:5" x14ac:dyDescent="0.35">
      <c r="D9" s="61" t="s">
        <v>129</v>
      </c>
      <c r="E9" s="62"/>
    </row>
    <row r="10" spans="1:5" x14ac:dyDescent="0.35">
      <c r="D10" s="62"/>
      <c r="E10" s="62"/>
    </row>
    <row r="11" spans="1:5" x14ac:dyDescent="0.35">
      <c r="A11" s="50" t="s">
        <v>124</v>
      </c>
      <c r="B11" t="s">
        <v>126</v>
      </c>
      <c r="D11" s="60"/>
      <c r="E11" s="60"/>
    </row>
    <row r="12" spans="1:5" x14ac:dyDescent="0.35">
      <c r="A12" s="1" t="s">
        <v>79</v>
      </c>
      <c r="B12" s="25">
        <v>1</v>
      </c>
      <c r="D12" s="60"/>
      <c r="E12" s="60"/>
    </row>
    <row r="13" spans="1:5" x14ac:dyDescent="0.35">
      <c r="A13" s="1" t="s">
        <v>82</v>
      </c>
      <c r="B13" s="25">
        <v>2</v>
      </c>
      <c r="D13" s="60"/>
      <c r="E13" s="60"/>
    </row>
    <row r="14" spans="1:5" x14ac:dyDescent="0.35">
      <c r="A14" s="1" t="s">
        <v>78</v>
      </c>
      <c r="B14" s="25">
        <v>1</v>
      </c>
      <c r="D14" s="60"/>
      <c r="E14" s="60"/>
    </row>
    <row r="15" spans="1:5" x14ac:dyDescent="0.35">
      <c r="A15" s="1" t="s">
        <v>81</v>
      </c>
      <c r="B15" s="25">
        <v>1</v>
      </c>
      <c r="D15" s="60"/>
      <c r="E15" s="60"/>
    </row>
    <row r="16" spans="1:5" x14ac:dyDescent="0.35">
      <c r="A16" s="1" t="s">
        <v>96</v>
      </c>
      <c r="B16" s="25">
        <v>3</v>
      </c>
      <c r="D16" s="60"/>
      <c r="E16" s="60"/>
    </row>
    <row r="17" spans="1:5" x14ac:dyDescent="0.35">
      <c r="A17" s="1" t="s">
        <v>80</v>
      </c>
      <c r="B17" s="25">
        <v>3</v>
      </c>
      <c r="D17" s="60"/>
      <c r="E17" s="60"/>
    </row>
    <row r="18" spans="1:5" x14ac:dyDescent="0.35">
      <c r="A18" s="1" t="s">
        <v>83</v>
      </c>
      <c r="B18" s="25">
        <v>1</v>
      </c>
      <c r="D18" s="60"/>
      <c r="E18" s="60"/>
    </row>
    <row r="19" spans="1:5" x14ac:dyDescent="0.35">
      <c r="A19" s="1" t="s">
        <v>125</v>
      </c>
      <c r="B19" s="25">
        <v>12</v>
      </c>
    </row>
  </sheetData>
  <mergeCells count="2">
    <mergeCell ref="D11:E18"/>
    <mergeCell ref="D9:E10"/>
  </mergeCells>
  <pageMargins left="0.7" right="0.7" top="0.75" bottom="0.75" header="0.3" footer="0.3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7FD52-38DA-4745-BC11-9BD77665B2BB}">
  <sheetPr codeName="Feuil5"/>
  <dimension ref="A1:O90"/>
  <sheetViews>
    <sheetView workbookViewId="0">
      <selection activeCell="J10" sqref="J10"/>
    </sheetView>
  </sheetViews>
  <sheetFormatPr baseColWidth="10" defaultRowHeight="14.5" x14ac:dyDescent="0.35"/>
  <cols>
    <col min="5" max="5" width="13.6328125" customWidth="1"/>
    <col min="6" max="6" width="17.1796875" customWidth="1"/>
    <col min="7" max="7" width="16.7265625" customWidth="1"/>
  </cols>
  <sheetData>
    <row r="1" spans="1:15" ht="15" customHeight="1" x14ac:dyDescent="0.6">
      <c r="A1" s="56"/>
      <c r="B1" s="56"/>
      <c r="C1" s="56"/>
      <c r="D1" s="56"/>
      <c r="E1" s="56"/>
      <c r="F1" s="56"/>
      <c r="G1" s="56"/>
      <c r="H1" s="56"/>
      <c r="I1" s="56"/>
      <c r="J1" s="56"/>
      <c r="K1" s="53"/>
      <c r="L1" s="53"/>
      <c r="M1" s="53"/>
      <c r="N1" s="53"/>
      <c r="O1" s="53"/>
    </row>
    <row r="2" spans="1:15" s="52" customFormat="1" ht="14.5" customHeight="1" x14ac:dyDescent="0.6">
      <c r="A2" s="63" t="s">
        <v>128</v>
      </c>
      <c r="B2" s="63"/>
      <c r="C2" s="63"/>
      <c r="D2" s="63"/>
      <c r="E2" s="63"/>
      <c r="F2" s="63"/>
      <c r="G2" s="63"/>
      <c r="H2" s="51"/>
      <c r="I2" s="51"/>
      <c r="J2" s="56"/>
      <c r="K2" s="53"/>
      <c r="L2" s="53"/>
      <c r="M2" s="53"/>
      <c r="N2" s="53"/>
      <c r="O2" s="53"/>
    </row>
    <row r="3" spans="1:15" ht="14.5" customHeight="1" x14ac:dyDescent="0.6">
      <c r="A3" s="63"/>
      <c r="B3" s="63"/>
      <c r="C3" s="63"/>
      <c r="D3" s="63"/>
      <c r="E3" s="63"/>
      <c r="F3" s="63"/>
      <c r="G3" s="63"/>
      <c r="H3" s="51"/>
      <c r="I3" s="51"/>
      <c r="J3" s="51"/>
      <c r="K3" s="53"/>
      <c r="L3" s="53"/>
      <c r="M3" s="53"/>
      <c r="N3" s="53"/>
      <c r="O3" s="53"/>
    </row>
    <row r="4" spans="1:15" x14ac:dyDescent="0.35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x14ac:dyDescent="0.3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 x14ac:dyDescent="0.3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 x14ac:dyDescent="0.3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 x14ac:dyDescent="0.3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 x14ac:dyDescent="0.3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  <row r="11" spans="1:15" x14ac:dyDescent="0.3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3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3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</row>
    <row r="14" spans="1:15" x14ac:dyDescent="0.3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5" x14ac:dyDescent="0.3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5" x14ac:dyDescent="0.3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15" x14ac:dyDescent="0.3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</row>
    <row r="18" spans="1:15" x14ac:dyDescent="0.3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15" x14ac:dyDescent="0.3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</row>
    <row r="20" spans="1:15" x14ac:dyDescent="0.35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</row>
    <row r="21" spans="1:15" x14ac:dyDescent="0.35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</row>
    <row r="22" spans="1:15" x14ac:dyDescent="0.35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15" x14ac:dyDescent="0.35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</row>
    <row r="24" spans="1:15" x14ac:dyDescent="0.35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15" x14ac:dyDescent="0.35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</row>
    <row r="26" spans="1:15" x14ac:dyDescent="0.3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</row>
    <row r="27" spans="1:15" x14ac:dyDescent="0.35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</row>
    <row r="28" spans="1:15" x14ac:dyDescent="0.35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</row>
    <row r="29" spans="1:15" x14ac:dyDescent="0.35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</row>
    <row r="30" spans="1:15" x14ac:dyDescent="0.3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</row>
    <row r="31" spans="1:15" x14ac:dyDescent="0.3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</row>
    <row r="32" spans="1:15" x14ac:dyDescent="0.3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</row>
    <row r="33" spans="1:15" x14ac:dyDescent="0.3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</row>
    <row r="34" spans="1:15" x14ac:dyDescent="0.35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</row>
    <row r="35" spans="1:15" x14ac:dyDescent="0.35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</row>
    <row r="36" spans="1:15" x14ac:dyDescent="0.35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</row>
    <row r="37" spans="1:15" x14ac:dyDescent="0.3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</row>
    <row r="38" spans="1:15" x14ac:dyDescent="0.35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</row>
    <row r="39" spans="1:1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5" x14ac:dyDescent="0.35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</row>
    <row r="41" spans="1:15" x14ac:dyDescent="0.35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</row>
    <row r="42" spans="1:15" x14ac:dyDescent="0.35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15" x14ac:dyDescent="0.35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</row>
    <row r="44" spans="1:1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</row>
    <row r="45" spans="1:15" x14ac:dyDescent="0.35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5" x14ac:dyDescent="0.3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</row>
    <row r="47" spans="1:15" x14ac:dyDescent="0.3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</row>
    <row r="48" spans="1:15" x14ac:dyDescent="0.3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</row>
    <row r="49" spans="1:15" x14ac:dyDescent="0.3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</row>
    <row r="50" spans="1:15" x14ac:dyDescent="0.3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</row>
    <row r="51" spans="1:1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x14ac:dyDescent="0.35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</row>
    <row r="53" spans="1:15" x14ac:dyDescent="0.3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</row>
    <row r="54" spans="1:15" x14ac:dyDescent="0.35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</row>
    <row r="55" spans="1:1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</row>
    <row r="56" spans="1:15" x14ac:dyDescent="0.35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</row>
    <row r="57" spans="1:15" x14ac:dyDescent="0.35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</row>
    <row r="58" spans="1:15" x14ac:dyDescent="0.35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</row>
    <row r="59" spans="1:15" x14ac:dyDescent="0.35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x14ac:dyDescent="0.35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</row>
    <row r="61" spans="1:15" x14ac:dyDescent="0.35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</row>
    <row r="62" spans="1:1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x14ac:dyDescent="0.35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x14ac:dyDescent="0.35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</row>
    <row r="66" spans="1:15" x14ac:dyDescent="0.35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</row>
    <row r="67" spans="1:15" x14ac:dyDescent="0.35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</row>
    <row r="68" spans="1:15" x14ac:dyDescent="0.35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</row>
    <row r="69" spans="1:15" x14ac:dyDescent="0.35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</row>
    <row r="70" spans="1:15" x14ac:dyDescent="0.35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</row>
    <row r="71" spans="1:15" x14ac:dyDescent="0.35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</row>
    <row r="72" spans="1:15" x14ac:dyDescent="0.35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</row>
    <row r="73" spans="1:15" x14ac:dyDescent="0.35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</row>
    <row r="74" spans="1:15" x14ac:dyDescent="0.35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</row>
    <row r="75" spans="1:15" x14ac:dyDescent="0.35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</row>
    <row r="76" spans="1:15" x14ac:dyDescent="0.35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</row>
    <row r="77" spans="1:15" x14ac:dyDescent="0.35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</row>
    <row r="78" spans="1:15" x14ac:dyDescent="0.35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</row>
    <row r="79" spans="1:15" x14ac:dyDescent="0.35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</row>
    <row r="80" spans="1:15" x14ac:dyDescent="0.35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</row>
    <row r="81" spans="1:15" x14ac:dyDescent="0.35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</row>
    <row r="82" spans="1:15" x14ac:dyDescent="0.35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</row>
    <row r="83" spans="1:15" x14ac:dyDescent="0.35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</row>
    <row r="84" spans="1:15" x14ac:dyDescent="0.35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</row>
    <row r="85" spans="1:15" x14ac:dyDescent="0.35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</row>
    <row r="86" spans="1:15" x14ac:dyDescent="0.35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</row>
    <row r="87" spans="1:15" x14ac:dyDescent="0.35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</row>
    <row r="88" spans="1:15" x14ac:dyDescent="0.35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</row>
    <row r="89" spans="1:15" x14ac:dyDescent="0.35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</row>
    <row r="90" spans="1:15" x14ac:dyDescent="0.35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</row>
  </sheetData>
  <mergeCells count="1">
    <mergeCell ref="A2:G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0AE697-9807-4EFF-9AB5-5A12A735B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Source</vt:lpstr>
      <vt:lpstr>Liste</vt:lpstr>
      <vt:lpstr>Tableau de Bord</vt:lpstr>
      <vt:lpstr>ListeService</vt:lpstr>
      <vt:lpstr>ListeStatut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</dc:creator>
  <cp:lastModifiedBy>HABIB</cp:lastModifiedBy>
  <dcterms:created xsi:type="dcterms:W3CDTF">2020-02-08T23:56:55Z</dcterms:created>
  <dcterms:modified xsi:type="dcterms:W3CDTF">2020-06-17T17:58:03Z</dcterms:modified>
</cp:coreProperties>
</file>